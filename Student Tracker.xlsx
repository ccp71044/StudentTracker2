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ill\Dropbox\Allens Training\Courses\"/>
    </mc:Choice>
  </mc:AlternateContent>
  <xr:revisionPtr revIDLastSave="0" documentId="13_ncr:1_{6684B817-58E9-44A0-8ACF-00DD0555F0C4}" xr6:coauthVersionLast="47" xr6:coauthVersionMax="47" xr10:uidLastSave="{00000000-0000-0000-0000-000000000000}"/>
  <bookViews>
    <workbookView xWindow="-120" yWindow="-120" windowWidth="29040" windowHeight="15720" xr2:uid="{38A4FFF0-5798-4AE8-B957-35DB0DFA19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25" i="1" l="1"/>
  <c r="K1" i="1"/>
  <c r="K2" i="1" l="1"/>
</calcChain>
</file>

<file path=xl/sharedStrings.xml><?xml version="1.0" encoding="utf-8"?>
<sst xmlns="http://schemas.openxmlformats.org/spreadsheetml/2006/main" count="169" uniqueCount="116">
  <si>
    <t>Student Register</t>
  </si>
  <si>
    <t>First Name</t>
  </si>
  <si>
    <t>Last Name</t>
  </si>
  <si>
    <t>Email</t>
  </si>
  <si>
    <t>Phone</t>
  </si>
  <si>
    <t>Course</t>
  </si>
  <si>
    <t>Date</t>
  </si>
  <si>
    <t>Cost (Cert)</t>
  </si>
  <si>
    <t>Chelsea</t>
  </si>
  <si>
    <t>Carr</t>
  </si>
  <si>
    <t>notes</t>
  </si>
  <si>
    <t>HLTAID009</t>
  </si>
  <si>
    <t>Dave</t>
  </si>
  <si>
    <t>Blizzard</t>
  </si>
  <si>
    <t>Total Cert Cost</t>
  </si>
  <si>
    <t>Remaining Budget</t>
  </si>
  <si>
    <t>HLTAID011</t>
  </si>
  <si>
    <t>Luke</t>
  </si>
  <si>
    <t>Wyatt (nightshift)</t>
  </si>
  <si>
    <t>rigperth00@gmail.com</t>
  </si>
  <si>
    <t>Alex</t>
  </si>
  <si>
    <t>Foster</t>
  </si>
  <si>
    <t>alxfoster74@hotmail.com</t>
  </si>
  <si>
    <t>Victor</t>
  </si>
  <si>
    <t>Riquelme</t>
  </si>
  <si>
    <t>marcosopazo@live.com.au</t>
  </si>
  <si>
    <t>Dean</t>
  </si>
  <si>
    <t>Puhi (nightshift)</t>
  </si>
  <si>
    <t>deanpuhi@gmail.com</t>
  </si>
  <si>
    <t>Aiden</t>
  </si>
  <si>
    <t>Smaller</t>
  </si>
  <si>
    <t>aiden.dansey@gmail.com</t>
  </si>
  <si>
    <t>Rescheule 29/5/26</t>
  </si>
  <si>
    <t>Gillam</t>
  </si>
  <si>
    <t>Rescheule 289/5/26 Nightshift</t>
  </si>
  <si>
    <t>Gas Test</t>
  </si>
  <si>
    <t>PUAFIR306</t>
  </si>
  <si>
    <t>PUAFER006</t>
  </si>
  <si>
    <t>Tess</t>
  </si>
  <si>
    <t>Borheinger</t>
  </si>
  <si>
    <t>Withdrawn pending contact from them</t>
  </si>
  <si>
    <t>Cancelled - no refund</t>
  </si>
  <si>
    <t>Andrew</t>
  </si>
  <si>
    <t>Shaehan</t>
  </si>
  <si>
    <t>Tash</t>
  </si>
  <si>
    <t>Fee</t>
  </si>
  <si>
    <t>Prince</t>
  </si>
  <si>
    <t>Dalmeida</t>
  </si>
  <si>
    <t>natasha.fee1@cloughgroup.com</t>
  </si>
  <si>
    <t>prince.dalmedia@cloughgroup.com</t>
  </si>
  <si>
    <t>Scott</t>
  </si>
  <si>
    <t>Waterson</t>
  </si>
  <si>
    <t>Top Ups</t>
  </si>
  <si>
    <t>Amount</t>
  </si>
  <si>
    <t>Notes</t>
  </si>
  <si>
    <t>Total</t>
  </si>
  <si>
    <t>Initial T&amp;C Money</t>
  </si>
  <si>
    <t>RIICOM201E</t>
  </si>
  <si>
    <t>RIIRIS301E</t>
  </si>
  <si>
    <t>RIIWHS201E</t>
  </si>
  <si>
    <t>RIIERR205D</t>
  </si>
  <si>
    <t>HLTAID014</t>
  </si>
  <si>
    <t>RIIERR301E</t>
  </si>
  <si>
    <t>AG Topup</t>
  </si>
  <si>
    <t>AG topup</t>
  </si>
  <si>
    <t>PUAFIR207 Operate breathing apparatus open circuit</t>
  </si>
  <si>
    <t>PUAFIR324 Render hazardous materials incidents safe</t>
  </si>
  <si>
    <t>PUAFIR306 Identify, detect and monitor hazardous materials at an incident</t>
  </si>
  <si>
    <t>PUASAR024 Undertake road crash rescue</t>
  </si>
  <si>
    <t>PUASAR025 Undertake confined space rescue (non fire-sector specific)</t>
  </si>
  <si>
    <t>PUASAR032 Undertake vertical rescue</t>
  </si>
  <si>
    <t>RIIERR201E Conduct fire team operations</t>
  </si>
  <si>
    <t>PUASAR022 Participate in a rescue operation</t>
  </si>
  <si>
    <t>RIIERR301E Respond to work site incidents</t>
  </si>
  <si>
    <t>paulandrews592@gmail.com</t>
  </si>
  <si>
    <t>simon.baran@yahoo.com.au</t>
  </si>
  <si>
    <t>chopsmojo71@gmail.com</t>
  </si>
  <si>
    <t>Andrews</t>
  </si>
  <si>
    <t>Baran</t>
  </si>
  <si>
    <t>Singleton</t>
  </si>
  <si>
    <t xml:space="preserve">Paul </t>
  </si>
  <si>
    <t>Simon</t>
  </si>
  <si>
    <t>Garry</t>
  </si>
  <si>
    <t>tysonjgrimshaw@gmail.com</t>
  </si>
  <si>
    <t>manikato58@bigpond.com</t>
  </si>
  <si>
    <t>akaranasolomont@gmail.com</t>
  </si>
  <si>
    <t>Tyson</t>
  </si>
  <si>
    <t xml:space="preserve"> Grimshaw</t>
  </si>
  <si>
    <t>Steve</t>
  </si>
  <si>
    <t xml:space="preserve"> Honicke</t>
  </si>
  <si>
    <t xml:space="preserve">Solomon </t>
  </si>
  <si>
    <t>Akarana</t>
  </si>
  <si>
    <t>SCJV 1</t>
  </si>
  <si>
    <t>SCJV 2</t>
  </si>
  <si>
    <t>SCJV 3</t>
  </si>
  <si>
    <t>SCJV 4</t>
  </si>
  <si>
    <t>SCJV 5</t>
  </si>
  <si>
    <t>SCJV 6</t>
  </si>
  <si>
    <t>SCJV 7</t>
  </si>
  <si>
    <t>SCJV 8</t>
  </si>
  <si>
    <t>SCJV 9</t>
  </si>
  <si>
    <t>SCJV 10</t>
  </si>
  <si>
    <t>Craig.Roberts@cloughgroup.com</t>
  </si>
  <si>
    <t>Roberts</t>
  </si>
  <si>
    <t>Craig</t>
  </si>
  <si>
    <t>SCJV 11</t>
  </si>
  <si>
    <t>SCJV 12</t>
  </si>
  <si>
    <t>Withdrawn - Sick</t>
  </si>
  <si>
    <t>Emma</t>
  </si>
  <si>
    <t>Cartwright</t>
  </si>
  <si>
    <t>SCJV</t>
  </si>
  <si>
    <t>PENDING</t>
  </si>
  <si>
    <t>Roz</t>
  </si>
  <si>
    <t>Brendan</t>
  </si>
  <si>
    <t>Clare</t>
  </si>
  <si>
    <t>Stacey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</si>
</sst>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</font>
    <font>
      <sz val="12"/>
      <color rgb="FF242424"/>
      <name val="Aptos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4" fillId="0" borderId="3" xfId="1" applyFill="1" applyBorder="1" applyAlignment="1">
      <alignment vertical="center" wrapText="1"/>
    </xf>
    <xf numFmtId="0" fontId="4" fillId="0" borderId="0" xfId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4" fillId="2" borderId="2" xfId="1" applyFill="1" applyBorder="1" applyAlignment="1">
      <alignment vertical="center" wrapText="1"/>
    </xf>
    <xf numFmtId="0" fontId="4" fillId="0" borderId="0" xfId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0" fillId="0" borderId="0" xfId="0" applyAlignment="1">
      <alignment horizontal="center"/>
    </xf>
    <xf numFmtId="0" fontId="3" fillId="2" borderId="0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karanasolomont@gmail.com" TargetMode="External"/><Relationship Id="rId3" Type="http://schemas.openxmlformats.org/officeDocument/2006/relationships/hyperlink" Target="mailto:paulandrews592@gmail.com" TargetMode="External"/><Relationship Id="rId7" Type="http://schemas.openxmlformats.org/officeDocument/2006/relationships/hyperlink" Target="mailto:manikato58@bigpond.com" TargetMode="External"/><Relationship Id="rId2" Type="http://schemas.openxmlformats.org/officeDocument/2006/relationships/hyperlink" Target="mailto:prince.dalmedia@cloughgroup.com" TargetMode="External"/><Relationship Id="rId1" Type="http://schemas.openxmlformats.org/officeDocument/2006/relationships/hyperlink" Target="mailto:natasha.fee1@cloughgroup.com" TargetMode="External"/><Relationship Id="rId6" Type="http://schemas.openxmlformats.org/officeDocument/2006/relationships/hyperlink" Target="mailto:tysonjgrimshaw@gmail.com" TargetMode="External"/><Relationship Id="rId5" Type="http://schemas.openxmlformats.org/officeDocument/2006/relationships/hyperlink" Target="mailto:chopsmojo71@gmail.com" TargetMode="External"/><Relationship Id="rId4" Type="http://schemas.openxmlformats.org/officeDocument/2006/relationships/hyperlink" Target="mailto:simon.baran@yahoo.com.au" TargetMode="External"/><Relationship Id="rId9" Type="http://schemas.openxmlformats.org/officeDocument/2006/relationships/hyperlink" Target="mailto:Craig.Roberts@clough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0EBF-7BDB-4CC1-8DD3-14D0E6409807}">
  <dimension ref="A1:P45"/>
  <sheetViews>
    <sheetView tabSelected="1" workbookViewId="0">
      <selection activeCell="O17" sqref="O17"/>
    </sheetView>
  </sheetViews>
  <sheetFormatPr defaultRowHeight="15" x14ac:dyDescent="0.25"/>
  <cols>
    <col min="1" max="1" width="19.140625" customWidth="1"/>
    <col min="2" max="2" width="16.42578125" customWidth="1"/>
    <col min="3" max="3" width="21.28515625" customWidth="1"/>
    <col min="4" max="4" width="24.28515625" customWidth="1"/>
    <col min="5" max="5" width="31.42578125" customWidth="1"/>
    <col min="6" max="6" width="13.7109375" style="1" customWidth="1"/>
    <col min="7" max="7" width="18.140625" customWidth="1"/>
    <col min="10" max="10" width="27.28515625" customWidth="1"/>
    <col min="14" max="14" width="10.42578125" bestFit="1" customWidth="1"/>
  </cols>
  <sheetData>
    <row r="1" spans="1:16" x14ac:dyDescent="0.25">
      <c r="A1" s="13" t="s">
        <v>0</v>
      </c>
      <c r="B1" s="13"/>
      <c r="C1" s="13"/>
      <c r="D1" s="13"/>
      <c r="J1" t="s">
        <v>14</v>
      </c>
      <c r="K1">
        <f>SUM(G3:G9999)</f>
        <v>1358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s="1" t="s">
        <v>6</v>
      </c>
      <c r="G2" t="s">
        <v>7</v>
      </c>
      <c r="H2" t="s">
        <v>10</v>
      </c>
      <c r="J2" t="s">
        <v>15</v>
      </c>
      <c r="K2">
        <f>O25-K1</f>
        <v>46</v>
      </c>
    </row>
    <row r="3" spans="1:16" x14ac:dyDescent="0.25">
      <c r="A3" t="s">
        <v>8</v>
      </c>
      <c r="B3" t="s">
        <v>9</v>
      </c>
      <c r="E3" t="s">
        <v>11</v>
      </c>
      <c r="F3" s="1">
        <v>46145</v>
      </c>
      <c r="G3">
        <v>9</v>
      </c>
    </row>
    <row r="4" spans="1:16" x14ac:dyDescent="0.25">
      <c r="A4" t="s">
        <v>12</v>
      </c>
      <c r="B4" t="s">
        <v>13</v>
      </c>
      <c r="E4" t="s">
        <v>11</v>
      </c>
      <c r="F4" s="1">
        <v>46145</v>
      </c>
      <c r="G4">
        <v>9</v>
      </c>
    </row>
    <row r="5" spans="1:16" ht="15.75" thickBot="1" x14ac:dyDescent="0.3">
      <c r="A5" s="2" t="s">
        <v>17</v>
      </c>
      <c r="B5" s="3" t="s">
        <v>18</v>
      </c>
      <c r="C5" s="3" t="s">
        <v>19</v>
      </c>
      <c r="D5" s="3">
        <v>457205950</v>
      </c>
      <c r="E5" t="s">
        <v>16</v>
      </c>
      <c r="F5" s="1">
        <v>46171</v>
      </c>
      <c r="G5">
        <v>20</v>
      </c>
      <c r="H5" t="s">
        <v>34</v>
      </c>
      <c r="I5" t="s">
        <v>92</v>
      </c>
    </row>
    <row r="6" spans="1:16" ht="30.75" thickBot="1" x14ac:dyDescent="0.3">
      <c r="A6" s="2" t="s">
        <v>20</v>
      </c>
      <c r="B6" s="3" t="s">
        <v>21</v>
      </c>
      <c r="C6" s="3" t="s">
        <v>22</v>
      </c>
      <c r="D6" s="3">
        <v>499999023</v>
      </c>
      <c r="E6" t="s">
        <v>16</v>
      </c>
      <c r="F6" s="1">
        <v>46171</v>
      </c>
      <c r="G6">
        <v>20</v>
      </c>
      <c r="H6" t="s">
        <v>32</v>
      </c>
      <c r="I6" t="s">
        <v>93</v>
      </c>
    </row>
    <row r="7" spans="1:16" ht="30.75" thickBot="1" x14ac:dyDescent="0.3">
      <c r="A7" s="2" t="s">
        <v>23</v>
      </c>
      <c r="B7" s="3" t="s">
        <v>24</v>
      </c>
      <c r="C7" s="3" t="s">
        <v>25</v>
      </c>
      <c r="D7" s="3">
        <v>423760372</v>
      </c>
      <c r="E7" t="s">
        <v>16</v>
      </c>
      <c r="F7" s="1">
        <v>46171</v>
      </c>
      <c r="G7">
        <v>0</v>
      </c>
      <c r="H7" t="s">
        <v>41</v>
      </c>
      <c r="I7" t="s">
        <v>94</v>
      </c>
      <c r="N7" s="13" t="s">
        <v>52</v>
      </c>
      <c r="O7" s="13"/>
    </row>
    <row r="8" spans="1:16" ht="15.75" thickBot="1" x14ac:dyDescent="0.3">
      <c r="A8" s="2" t="s">
        <v>26</v>
      </c>
      <c r="B8" s="3" t="s">
        <v>27</v>
      </c>
      <c r="C8" s="3" t="s">
        <v>28</v>
      </c>
      <c r="D8" s="3">
        <v>455296485</v>
      </c>
      <c r="E8" t="s">
        <v>16</v>
      </c>
      <c r="F8" s="1">
        <v>46150</v>
      </c>
      <c r="G8">
        <v>0</v>
      </c>
      <c r="H8" t="s">
        <v>40</v>
      </c>
      <c r="N8" t="s">
        <v>6</v>
      </c>
      <c r="O8" t="s">
        <v>53</v>
      </c>
      <c r="P8" t="s">
        <v>54</v>
      </c>
    </row>
    <row r="9" spans="1:16" ht="30.75" thickBot="1" x14ac:dyDescent="0.3">
      <c r="A9" s="2" t="s">
        <v>29</v>
      </c>
      <c r="B9" s="3" t="s">
        <v>30</v>
      </c>
      <c r="C9" s="3" t="s">
        <v>31</v>
      </c>
      <c r="D9" s="3">
        <v>447967927</v>
      </c>
      <c r="E9" t="s">
        <v>16</v>
      </c>
      <c r="F9" s="1">
        <v>46150</v>
      </c>
      <c r="G9">
        <v>0</v>
      </c>
      <c r="H9" t="s">
        <v>40</v>
      </c>
      <c r="N9" s="1">
        <v>46141</v>
      </c>
      <c r="O9">
        <v>500</v>
      </c>
      <c r="P9" t="s">
        <v>56</v>
      </c>
    </row>
    <row r="10" spans="1:16" ht="30" x14ac:dyDescent="0.25">
      <c r="A10" s="4" t="s">
        <v>44</v>
      </c>
      <c r="B10" s="5" t="s">
        <v>45</v>
      </c>
      <c r="C10" s="6" t="s">
        <v>48</v>
      </c>
      <c r="E10" t="s">
        <v>16</v>
      </c>
      <c r="F10" s="1">
        <v>46179</v>
      </c>
      <c r="G10">
        <v>20</v>
      </c>
      <c r="I10" t="s">
        <v>95</v>
      </c>
      <c r="N10" s="1">
        <v>46173</v>
      </c>
      <c r="O10">
        <v>120</v>
      </c>
      <c r="P10" t="s">
        <v>63</v>
      </c>
    </row>
    <row r="11" spans="1:16" ht="30" x14ac:dyDescent="0.25">
      <c r="A11" t="s">
        <v>46</v>
      </c>
      <c r="B11" s="5" t="s">
        <v>47</v>
      </c>
      <c r="C11" s="7" t="s">
        <v>49</v>
      </c>
      <c r="E11" t="s">
        <v>16</v>
      </c>
      <c r="F11" s="1">
        <v>46179</v>
      </c>
      <c r="G11">
        <v>20</v>
      </c>
      <c r="I11" t="s">
        <v>96</v>
      </c>
      <c r="N11" s="1">
        <v>46178</v>
      </c>
      <c r="O11">
        <v>160</v>
      </c>
      <c r="P11" t="s">
        <v>64</v>
      </c>
    </row>
    <row r="12" spans="1:16" ht="30.75" thickBot="1" x14ac:dyDescent="0.3">
      <c r="A12" s="8" t="s">
        <v>80</v>
      </c>
      <c r="B12" s="9" t="s">
        <v>77</v>
      </c>
      <c r="C12" s="10" t="s">
        <v>74</v>
      </c>
      <c r="E12" t="s">
        <v>16</v>
      </c>
      <c r="F12" s="1">
        <v>46207</v>
      </c>
      <c r="G12">
        <v>20</v>
      </c>
      <c r="I12" t="s">
        <v>97</v>
      </c>
      <c r="N12" s="1">
        <v>46202</v>
      </c>
      <c r="O12">
        <v>64</v>
      </c>
    </row>
    <row r="13" spans="1:16" ht="30.75" thickBot="1" x14ac:dyDescent="0.3">
      <c r="A13" s="8" t="s">
        <v>81</v>
      </c>
      <c r="B13" s="9" t="s">
        <v>78</v>
      </c>
      <c r="C13" s="10" t="s">
        <v>75</v>
      </c>
      <c r="E13" t="s">
        <v>16</v>
      </c>
      <c r="F13" s="1">
        <v>46207</v>
      </c>
      <c r="G13">
        <v>20</v>
      </c>
      <c r="I13" t="s">
        <v>98</v>
      </c>
      <c r="N13" s="1">
        <v>46202</v>
      </c>
      <c r="O13">
        <v>65</v>
      </c>
    </row>
    <row r="14" spans="1:16" ht="30.75" thickBot="1" x14ac:dyDescent="0.3">
      <c r="A14" s="8" t="s">
        <v>82</v>
      </c>
      <c r="B14" s="9" t="s">
        <v>79</v>
      </c>
      <c r="C14" s="10" t="s">
        <v>76</v>
      </c>
      <c r="E14" t="s">
        <v>16</v>
      </c>
      <c r="G14">
        <v>0</v>
      </c>
      <c r="H14" t="s">
        <v>107</v>
      </c>
      <c r="N14" s="1">
        <v>46220</v>
      </c>
      <c r="O14">
        <v>300</v>
      </c>
    </row>
    <row r="15" spans="1:16" x14ac:dyDescent="0.25">
      <c r="A15" t="s">
        <v>20</v>
      </c>
      <c r="B15" t="s">
        <v>33</v>
      </c>
      <c r="E15" t="s">
        <v>35</v>
      </c>
      <c r="F15" s="1">
        <v>46143</v>
      </c>
      <c r="G15">
        <v>45</v>
      </c>
      <c r="N15" s="1">
        <v>46200</v>
      </c>
      <c r="O15">
        <v>55</v>
      </c>
    </row>
    <row r="16" spans="1:16" x14ac:dyDescent="0.25">
      <c r="A16" t="s">
        <v>20</v>
      </c>
      <c r="B16" t="s">
        <v>33</v>
      </c>
      <c r="E16" t="s">
        <v>36</v>
      </c>
      <c r="F16" s="1">
        <v>46145</v>
      </c>
      <c r="G16">
        <v>60</v>
      </c>
      <c r="N16" s="1">
        <v>46198</v>
      </c>
      <c r="O16">
        <v>140</v>
      </c>
    </row>
    <row r="17" spans="1:15" x14ac:dyDescent="0.25">
      <c r="A17" t="s">
        <v>20</v>
      </c>
      <c r="B17" t="s">
        <v>33</v>
      </c>
      <c r="E17" t="s">
        <v>37</v>
      </c>
      <c r="F17" s="1">
        <v>46147</v>
      </c>
      <c r="G17">
        <v>18</v>
      </c>
    </row>
    <row r="18" spans="1:15" x14ac:dyDescent="0.25">
      <c r="A18" t="s">
        <v>38</v>
      </c>
      <c r="B18" t="s">
        <v>39</v>
      </c>
      <c r="E18" t="s">
        <v>16</v>
      </c>
      <c r="F18" s="1">
        <v>46147</v>
      </c>
      <c r="G18">
        <v>20</v>
      </c>
    </row>
    <row r="19" spans="1:15" x14ac:dyDescent="0.25">
      <c r="A19" t="s">
        <v>42</v>
      </c>
      <c r="B19" t="s">
        <v>43</v>
      </c>
      <c r="E19" t="s">
        <v>11</v>
      </c>
      <c r="F19" s="1">
        <v>46168</v>
      </c>
      <c r="G19">
        <v>10</v>
      </c>
    </row>
    <row r="20" spans="1:15" x14ac:dyDescent="0.25">
      <c r="A20" t="s">
        <v>50</v>
      </c>
      <c r="B20" t="s">
        <v>51</v>
      </c>
      <c r="E20" t="s">
        <v>57</v>
      </c>
      <c r="F20" s="1">
        <v>46173</v>
      </c>
      <c r="G20">
        <v>60</v>
      </c>
    </row>
    <row r="21" spans="1:15" x14ac:dyDescent="0.25">
      <c r="A21" t="s">
        <v>50</v>
      </c>
      <c r="B21" t="s">
        <v>51</v>
      </c>
      <c r="E21" t="s">
        <v>58</v>
      </c>
      <c r="F21" s="1">
        <v>46174</v>
      </c>
      <c r="G21">
        <v>60</v>
      </c>
    </row>
    <row r="22" spans="1:15" x14ac:dyDescent="0.25">
      <c r="A22" t="s">
        <v>50</v>
      </c>
      <c r="B22" t="s">
        <v>51</v>
      </c>
      <c r="E22" t="s">
        <v>59</v>
      </c>
      <c r="F22" s="1">
        <v>46173</v>
      </c>
      <c r="G22">
        <v>60</v>
      </c>
    </row>
    <row r="23" spans="1:15" x14ac:dyDescent="0.25">
      <c r="A23" t="s">
        <v>50</v>
      </c>
      <c r="B23" t="s">
        <v>51</v>
      </c>
      <c r="E23" t="s">
        <v>60</v>
      </c>
      <c r="F23" s="1">
        <v>46174</v>
      </c>
      <c r="G23">
        <v>60</v>
      </c>
    </row>
    <row r="24" spans="1:15" x14ac:dyDescent="0.25">
      <c r="A24" t="s">
        <v>50</v>
      </c>
      <c r="B24" t="s">
        <v>51</v>
      </c>
      <c r="E24" t="s">
        <v>61</v>
      </c>
      <c r="F24" s="1">
        <v>46180</v>
      </c>
      <c r="G24">
        <v>40</v>
      </c>
    </row>
    <row r="25" spans="1:15" x14ac:dyDescent="0.25">
      <c r="A25" t="s">
        <v>50</v>
      </c>
      <c r="B25" t="s">
        <v>51</v>
      </c>
      <c r="E25" t="s">
        <v>62</v>
      </c>
      <c r="F25" s="1">
        <v>46198</v>
      </c>
      <c r="G25">
        <v>60</v>
      </c>
      <c r="N25" t="s">
        <v>55</v>
      </c>
      <c r="O25">
        <f>SUM(O9:O24)</f>
        <v>1404</v>
      </c>
    </row>
    <row r="26" spans="1:15" x14ac:dyDescent="0.25">
      <c r="A26" t="s">
        <v>50</v>
      </c>
      <c r="B26" t="s">
        <v>51</v>
      </c>
      <c r="E26" t="s">
        <v>65</v>
      </c>
      <c r="G26">
        <v>60</v>
      </c>
    </row>
    <row r="27" spans="1:15" x14ac:dyDescent="0.25">
      <c r="A27" t="s">
        <v>50</v>
      </c>
      <c r="B27" t="s">
        <v>51</v>
      </c>
      <c r="E27" t="s">
        <v>66</v>
      </c>
      <c r="G27">
        <v>0</v>
      </c>
    </row>
    <row r="28" spans="1:15" x14ac:dyDescent="0.25">
      <c r="A28" t="s">
        <v>50</v>
      </c>
      <c r="B28" t="s">
        <v>51</v>
      </c>
      <c r="E28" t="s">
        <v>67</v>
      </c>
      <c r="G28">
        <v>60</v>
      </c>
    </row>
    <row r="29" spans="1:15" x14ac:dyDescent="0.25">
      <c r="A29" t="s">
        <v>50</v>
      </c>
      <c r="B29" t="s">
        <v>51</v>
      </c>
      <c r="E29" t="s">
        <v>68</v>
      </c>
      <c r="G29">
        <v>60</v>
      </c>
    </row>
    <row r="30" spans="1:15" x14ac:dyDescent="0.25">
      <c r="A30" t="s">
        <v>50</v>
      </c>
      <c r="B30" t="s">
        <v>51</v>
      </c>
      <c r="E30" t="s">
        <v>69</v>
      </c>
      <c r="G30">
        <v>60</v>
      </c>
    </row>
    <row r="31" spans="1:15" x14ac:dyDescent="0.25">
      <c r="A31" t="s">
        <v>50</v>
      </c>
      <c r="B31" t="s">
        <v>51</v>
      </c>
      <c r="E31" t="s">
        <v>70</v>
      </c>
      <c r="G31">
        <v>60</v>
      </c>
    </row>
    <row r="32" spans="1:15" x14ac:dyDescent="0.25">
      <c r="A32" t="s">
        <v>50</v>
      </c>
      <c r="B32" t="s">
        <v>51</v>
      </c>
      <c r="E32" t="s">
        <v>71</v>
      </c>
      <c r="G32">
        <v>60</v>
      </c>
    </row>
    <row r="33" spans="1:9" x14ac:dyDescent="0.25">
      <c r="A33" t="s">
        <v>50</v>
      </c>
      <c r="B33" t="s">
        <v>51</v>
      </c>
      <c r="E33" t="s">
        <v>72</v>
      </c>
      <c r="G33">
        <v>60</v>
      </c>
    </row>
    <row r="34" spans="1:9" x14ac:dyDescent="0.25">
      <c r="A34" t="s">
        <v>50</v>
      </c>
      <c r="B34" t="s">
        <v>51</v>
      </c>
      <c r="E34" t="s">
        <v>73</v>
      </c>
      <c r="G34">
        <v>60</v>
      </c>
    </row>
    <row r="35" spans="1:9" ht="30.75" thickBot="1" x14ac:dyDescent="0.3">
      <c r="A35" s="8" t="s">
        <v>86</v>
      </c>
      <c r="B35" s="9" t="s">
        <v>87</v>
      </c>
      <c r="C35" s="10" t="s">
        <v>83</v>
      </c>
      <c r="E35" t="s">
        <v>16</v>
      </c>
      <c r="F35" s="1">
        <v>46207</v>
      </c>
      <c r="G35">
        <v>20</v>
      </c>
      <c r="I35" t="s">
        <v>100</v>
      </c>
    </row>
    <row r="36" spans="1:9" ht="30.75" thickBot="1" x14ac:dyDescent="0.3">
      <c r="A36" s="8" t="s">
        <v>88</v>
      </c>
      <c r="B36" s="9" t="s">
        <v>89</v>
      </c>
      <c r="C36" s="10" t="s">
        <v>84</v>
      </c>
      <c r="E36" t="s">
        <v>16</v>
      </c>
      <c r="G36">
        <v>0</v>
      </c>
    </row>
    <row r="37" spans="1:9" ht="30.75" thickBot="1" x14ac:dyDescent="0.3">
      <c r="A37" s="8" t="s">
        <v>90</v>
      </c>
      <c r="B37" s="9" t="s">
        <v>91</v>
      </c>
      <c r="C37" s="10" t="s">
        <v>85</v>
      </c>
      <c r="E37" t="s">
        <v>16</v>
      </c>
      <c r="G37">
        <v>0</v>
      </c>
    </row>
    <row r="38" spans="1:9" ht="15.75" x14ac:dyDescent="0.25">
      <c r="A38" s="11" t="s">
        <v>104</v>
      </c>
      <c r="B38" s="12" t="s">
        <v>103</v>
      </c>
      <c r="C38" t="s">
        <v>102</v>
      </c>
      <c r="E38" t="s">
        <v>16</v>
      </c>
      <c r="F38" s="1">
        <v>46211</v>
      </c>
      <c r="G38">
        <v>20</v>
      </c>
      <c r="I38" t="s">
        <v>106</v>
      </c>
    </row>
    <row r="39" spans="1:9" ht="15.75" x14ac:dyDescent="0.25">
      <c r="A39" s="4" t="s">
        <v>108</v>
      </c>
      <c r="B39" s="14" t="s">
        <v>109</v>
      </c>
      <c r="G39">
        <v>20</v>
      </c>
      <c r="I39" t="s">
        <v>99</v>
      </c>
    </row>
    <row r="40" spans="1:9" ht="15.75" x14ac:dyDescent="0.25">
      <c r="A40" s="14" t="s">
        <v>110</v>
      </c>
      <c r="B40" s="14" t="s">
        <v>111</v>
      </c>
      <c r="G40">
        <v>20</v>
      </c>
      <c r="I40" t="s">
        <v>101</v>
      </c>
    </row>
    <row r="41" spans="1:9" ht="15.75" x14ac:dyDescent="0.25">
      <c r="A41" s="14" t="s">
        <v>110</v>
      </c>
      <c r="B41" s="14" t="s">
        <v>111</v>
      </c>
      <c r="G41">
        <v>20</v>
      </c>
      <c r="I41" t="s">
        <v>105</v>
      </c>
    </row>
    <row r="42" spans="1:9" ht="15.75" x14ac:dyDescent="0.25">
      <c r="A42" s="14" t="s">
        <v>112</v>
      </c>
      <c r="G42">
        <v>64</v>
      </c>
    </row>
    <row r="43" spans="1:9" ht="15.75" x14ac:dyDescent="0.25">
      <c r="A43" s="14" t="s">
        <v>113</v>
      </c>
      <c r="G43">
        <v>65</v>
      </c>
    </row>
    <row r="44" spans="1:9" ht="15.75" x14ac:dyDescent="0.25">
      <c r="A44" s="14" t="s">
        <v>114</v>
      </c>
      <c r="G44">
        <v>9</v>
      </c>
    </row>
    <row r="45" spans="1:9" ht="15.75" x14ac:dyDescent="0.25">
      <c r="A45" s="14" t="s">
        <v>115</v>
      </c>
      <c r="G45">
        <v>9</v>
      </c>
    </row>
  </sheetData>
  <mergeCells count="2">
    <mergeCell ref="A1:D1"/>
    <mergeCell ref="N7:O7"/>
  </mergeCells>
  <phoneticPr fontId="1" type="noConversion"/>
  <hyperlinks>
    <hyperlink ref="C10" r:id="rId1" xr:uid="{8EA4AA09-9EE8-43DC-BCA1-4D0DBEF12A08}"/>
    <hyperlink ref="C11" r:id="rId2" xr:uid="{9E878487-4E78-4C94-9BB9-FCC0179E3E83}"/>
    <hyperlink ref="C12" r:id="rId3" tooltip="mailto:paulandrews592@gmail.com" display="mailto:paulandrews592@gmail.com" xr:uid="{BB0A017D-C606-481C-B53E-8F954A3CB7DC}"/>
    <hyperlink ref="C13" r:id="rId4" tooltip="mailto:simon.baran@yahoo.com.au" display="mailto:simon.baran@yahoo.com.au" xr:uid="{898E8F8B-DEFD-46AC-8D85-B505A5C3D7B6}"/>
    <hyperlink ref="C14" r:id="rId5" tooltip="mailto:chopsmojo71@gmail.com" display="mailto:chopsmojo71@gmail.com" xr:uid="{89277B0D-372F-4039-987A-042C7E60AF00}"/>
    <hyperlink ref="C35" r:id="rId6" tooltip="mailto:tysonjgrimshaw@gmail.com" display="mailto:tysonjgrimshaw@gmail.com" xr:uid="{59B59CAB-FCCE-4E5F-9308-2323971523D1}"/>
    <hyperlink ref="C36" r:id="rId7" tooltip="mailto:manikato58@bigpond.com" display="mailto:manikato58@bigpond.com" xr:uid="{7C8FB663-5BD8-4782-8D38-A8AA4AC80C2E}"/>
    <hyperlink ref="C37" r:id="rId8" tooltip="mailto:akaranasolomont@gmail.com" display="mailto:akaranasolomont@gmail.com" xr:uid="{A138F791-6736-4B6E-A63D-2F32E3795E44}"/>
    <hyperlink ref="A38" r:id="rId9" tooltip="mailto:Craig.Roberts@cloughgroup.com" display="mailto:Craig.Roberts@cloughgroup.com" xr:uid="{01BDC209-AB05-4E94-A2C2-6C967D2F49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Gillam</dc:creator>
  <cp:lastModifiedBy>Alex Gillam</cp:lastModifiedBy>
  <dcterms:created xsi:type="dcterms:W3CDTF">2026-04-30T06:39:37Z</dcterms:created>
  <dcterms:modified xsi:type="dcterms:W3CDTF">2026-07-28T00:05:26Z</dcterms:modified>
</cp:coreProperties>
</file>